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021590\Desktop\Hackaton\junta-de-propietarios\Agente\templates\"/>
    </mc:Choice>
  </mc:AlternateContent>
  <xr:revisionPtr revIDLastSave="0" documentId="13_ncr:1_{4D89A2B0-ADE1-4DF5-8E39-362A7C594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s" sheetId="1" r:id="rId1"/>
    <sheet name="Categorias" sheetId="4" r:id="rId2"/>
    <sheet name="Apartamento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5" l="1"/>
  <c r="K9" i="5"/>
  <c r="K8" i="5"/>
  <c r="H6" i="5"/>
  <c r="K5" i="5"/>
  <c r="H5" i="5"/>
  <c r="G2" i="1"/>
  <c r="G3" i="1" s="1"/>
  <c r="K7" i="5" l="1"/>
  <c r="K6" i="5"/>
</calcChain>
</file>

<file path=xl/sharedStrings.xml><?xml version="1.0" encoding="utf-8"?>
<sst xmlns="http://schemas.openxmlformats.org/spreadsheetml/2006/main" count="45" uniqueCount="41">
  <si>
    <t>Fecha</t>
  </si>
  <si>
    <t>Tipo</t>
  </si>
  <si>
    <t>Categoría</t>
  </si>
  <si>
    <t>Concepto</t>
  </si>
  <si>
    <t>Ingresos</t>
  </si>
  <si>
    <t>Gastos</t>
  </si>
  <si>
    <t>Saldo acumulado</t>
  </si>
  <si>
    <t>Ingreso</t>
  </si>
  <si>
    <t>Cuotas ordinarias</t>
  </si>
  <si>
    <t>Cuotas comunidad 01/2024</t>
  </si>
  <si>
    <t>Gasto</t>
  </si>
  <si>
    <t>Limpieza</t>
  </si>
  <si>
    <t>Limpieza zonas comunes 01/2024</t>
  </si>
  <si>
    <t>Detalle sugerido</t>
  </si>
  <si>
    <t>Cuota mensual propietarios</t>
  </si>
  <si>
    <t>Control de apartamentos - Comunidad de propietarios</t>
  </si>
  <si>
    <t>Edificio pequeño de 20 apartamentos · 5 morosos · Sin derramas activas</t>
  </si>
  <si>
    <t>Nº Apartamento</t>
  </si>
  <si>
    <t>Propietario</t>
  </si>
  <si>
    <t>Teléfono</t>
  </si>
  <si>
    <t>Email</t>
  </si>
  <si>
    <t>Cuota mensual</t>
  </si>
  <si>
    <t>Derrama</t>
  </si>
  <si>
    <t>Deuda</t>
  </si>
  <si>
    <t>Estado</t>
  </si>
  <si>
    <t>Resumen</t>
  </si>
  <si>
    <t>Valor</t>
  </si>
  <si>
    <t>1A</t>
  </si>
  <si>
    <t>Laura García López</t>
  </si>
  <si>
    <t>+34 600 123 401</t>
  </si>
  <si>
    <t>laura.garcia@example.com</t>
  </si>
  <si>
    <t>Total apartamentos</t>
  </si>
  <si>
    <t>1B</t>
  </si>
  <si>
    <t>Miguel Sánchez Ruiz</t>
  </si>
  <si>
    <t>+34 600 123 402</t>
  </si>
  <si>
    <t>miguel.sanchez@example.com</t>
  </si>
  <si>
    <t>Apartamentos al día</t>
  </si>
  <si>
    <t>Apartamentos morosos</t>
  </si>
  <si>
    <t>Cuotas mensuales previstas</t>
  </si>
  <si>
    <t>Derramas activas</t>
  </si>
  <si>
    <t>Deuda total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</si>
</sst>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6" formatCode="\€\ 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34E4A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34E4A"/>
      </patternFill>
    </fill>
    <fill>
      <patternFill patternType="solid">
        <fgColor rgb="FFCCFBF1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 applyFont="1" applyFill="1" applyBorder="1"/>
    <xf numFmtId="164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  <xf numFmtId="0" fontId="1" fillId="5" borderId="0" xfId="0" applyNumberFormat="1" applyFont="1" applyFill="1" applyBorder="1" applyAlignment="1">
      <alignment horizontal="center" vertical="center"/>
    </xf>
    <xf numFmtId="166" fontId="0" fillId="0" borderId="0" xfId="0" applyNumberFormat="1" applyFont="1" applyFill="1" applyBorder="1"/>
    <xf numFmtId="166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ovimientosTabla" displayName="MovimientosTabla" ref="A1:G196">
  <tableColumns count="7">
    <tableColumn id="1" xr3:uid="{00000000-0010-0000-0000-000001000000}" name="Fecha"/>
    <tableColumn id="2" xr3:uid="{00000000-0010-0000-0000-000002000000}" name="Tipo"/>
    <tableColumn id="3" xr3:uid="{00000000-0010-0000-0000-000003000000}" name="Categoría"/>
    <tableColumn id="4" xr3:uid="{00000000-0010-0000-0000-000004000000}" name="Concepto"/>
    <tableColumn id="5" xr3:uid="{00000000-0010-0000-0000-000005000000}" name="Ingresos"/>
    <tableColumn id="6" xr3:uid="{00000000-0010-0000-0000-000006000000}" name="Gastos"/>
    <tableColumn id="7" xr3:uid="{00000000-0010-0000-0000-000007000000}" name="Saldo acumul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ategoriasTabla" displayName="CategoriasTabla" ref="A1:C13">
  <tableColumns count="3">
    <tableColumn id="1" xr3:uid="{00000000-0010-0000-0400-000001000000}" name="Tipo"/>
    <tableColumn id="2" xr3:uid="{00000000-0010-0000-0400-000002000000}" name="Categoría"/>
    <tableColumn id="3" xr3:uid="{00000000-0010-0000-0400-000003000000}" name="Detalle sugeri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partamentosTable" displayName="ApartamentosTable" ref="A4:H24">
  <tableColumns count="8">
    <tableColumn id="1" xr3:uid="{00000000-0010-0000-0500-000001000000}" name="Nº Apartamento"/>
    <tableColumn id="2" xr3:uid="{00000000-0010-0000-0500-000002000000}" name="Propietario"/>
    <tableColumn id="3" xr3:uid="{00000000-0010-0000-0500-000003000000}" name="Teléfono"/>
    <tableColumn id="4" xr3:uid="{00000000-0010-0000-0500-000004000000}" name="Email"/>
    <tableColumn id="5" xr3:uid="{00000000-0010-0000-0500-000005000000}" name="Cuota mensual"/>
    <tableColumn id="6" xr3:uid="{00000000-0010-0000-0500-000006000000}" name="Derrama"/>
    <tableColumn id="7" xr3:uid="{00000000-0010-0000-0500-000007000000}" name="Deuda"/>
    <tableColumn id="8" xr3:uid="{00000000-0010-0000-0500-000008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tabSelected="1" workbookViewId="0">
      <selection activeCell="D9" sqref="D9"/>
    </sheetView>
  </sheetViews>
  <sheetFormatPr baseColWidth="10" defaultColWidth="8.625" defaultRowHeight="14.25"/>
  <cols>
    <col min="1" max="1" width="9.75" bestFit="1" customWidth="1"/>
    <col min="2" max="2" width="6.75" bestFit="1" customWidth="1"/>
    <col min="3" max="3" width="14.875" bestFit="1" customWidth="1"/>
    <col min="4" max="4" width="38" customWidth="1"/>
    <col min="5" max="6" width="9.25" bestFit="1" customWidth="1"/>
    <col min="7" max="7" width="14" customWidth="1"/>
  </cols>
  <sheetData>
    <row r="1" spans="1:1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</row>
    <row r="2" spans="1:11" ht="28.5">
      <c r="A2" s="5">
        <v>45296</v>
      </c>
      <c r="B2" s="4" t="s">
        <v>7</v>
      </c>
      <c r="C2" s="4" t="s">
        <v>8</v>
      </c>
      <c r="D2" s="4" t="s">
        <v>9</v>
      </c>
      <c r="E2" s="6">
        <v>2040</v>
      </c>
      <c r="F2" s="6"/>
      <c r="G2" s="6">
        <f>3250+E2-F2</f>
        <v>5290</v>
      </c>
      <c r="H2" s="4"/>
      <c r="I2" s="4"/>
      <c r="J2" s="4"/>
      <c r="K2" s="4"/>
    </row>
    <row r="3" spans="1:11">
      <c r="A3" s="5">
        <v>45301</v>
      </c>
      <c r="B3" s="4" t="s">
        <v>10</v>
      </c>
      <c r="C3" s="4" t="s">
        <v>11</v>
      </c>
      <c r="D3" s="4" t="s">
        <v>12</v>
      </c>
      <c r="E3" s="6"/>
      <c r="F3" s="6">
        <v>520</v>
      </c>
      <c r="G3" s="6">
        <f t="shared" ref="G3" si="0">G2+E3-F3</f>
        <v>4770</v>
      </c>
      <c r="H3" s="4"/>
      <c r="I3" s="4"/>
      <c r="J3" s="4"/>
      <c r="K3" s="4"/>
    </row>
    <row r="4" spans="1:11">
      <c r="A4" s="5"/>
      <c r="B4" s="4"/>
      <c r="C4" s="4"/>
      <c r="D4" s="4"/>
      <c r="E4" s="6"/>
      <c r="F4" s="6"/>
      <c r="G4" s="6"/>
      <c r="H4" s="4"/>
      <c r="I4" s="4"/>
      <c r="J4" s="4"/>
      <c r="K4" s="4"/>
    </row>
    <row r="5" spans="1:11">
      <c r="A5" s="5"/>
      <c r="B5" s="4"/>
      <c r="C5" s="4"/>
      <c r="D5" s="4"/>
      <c r="E5" s="6"/>
      <c r="F5" s="6"/>
      <c r="G5" s="6"/>
      <c r="H5" s="4"/>
      <c r="I5" s="4"/>
      <c r="J5" s="4"/>
      <c r="K5" s="4"/>
    </row>
    <row r="6" spans="1:11">
      <c r="A6" s="5"/>
      <c r="B6" s="4"/>
      <c r="C6" s="4"/>
      <c r="D6" s="4"/>
      <c r="E6" s="6"/>
      <c r="F6" s="6"/>
      <c r="G6" s="6"/>
      <c r="H6" s="4"/>
      <c r="I6" s="4"/>
      <c r="J6" s="4"/>
      <c r="K6" s="4"/>
    </row>
    <row r="7" spans="1:11">
      <c r="A7" s="5"/>
      <c r="B7" s="4"/>
      <c r="C7" s="4"/>
      <c r="D7" s="4"/>
      <c r="E7" s="6"/>
      <c r="F7" s="6"/>
      <c r="G7" s="6"/>
      <c r="H7" s="4"/>
      <c r="I7" s="4"/>
      <c r="J7" s="4"/>
      <c r="K7" s="4"/>
    </row>
    <row r="8" spans="1:11">
      <c r="A8" s="5"/>
      <c r="B8" s="4"/>
      <c r="C8" s="4"/>
      <c r="D8" s="4"/>
      <c r="E8" s="6"/>
      <c r="F8" s="6"/>
      <c r="G8" s="6"/>
      <c r="H8" s="4"/>
      <c r="I8" s="4"/>
      <c r="J8" s="4"/>
      <c r="K8" s="4"/>
    </row>
    <row r="9" spans="1:11">
      <c r="A9" s="5"/>
      <c r="B9" s="4"/>
      <c r="C9" s="4"/>
      <c r="D9" s="4"/>
      <c r="E9" s="6"/>
      <c r="F9" s="6"/>
      <c r="G9" s="6"/>
      <c r="H9" s="4"/>
      <c r="I9" s="4"/>
      <c r="J9" s="4"/>
      <c r="K9" s="4"/>
    </row>
    <row r="10" spans="1:11">
      <c r="A10" s="5"/>
      <c r="B10" s="4"/>
      <c r="C10" s="4"/>
      <c r="D10" s="4"/>
      <c r="E10" s="6"/>
      <c r="F10" s="6"/>
      <c r="G10" s="6"/>
      <c r="H10" s="4"/>
      <c r="I10" s="4"/>
      <c r="J10" s="4"/>
      <c r="K10" s="4"/>
    </row>
    <row r="11" spans="1:11">
      <c r="A11" s="5"/>
      <c r="B11" s="4"/>
      <c r="C11" s="4"/>
      <c r="D11" s="4"/>
      <c r="E11" s="6"/>
      <c r="F11" s="6"/>
      <c r="G11" s="6"/>
      <c r="H11" s="4"/>
      <c r="I11" s="4"/>
      <c r="J11" s="4"/>
      <c r="K11" s="4"/>
    </row>
    <row r="12" spans="1:11">
      <c r="A12" s="5"/>
      <c r="B12" s="4"/>
      <c r="C12" s="4"/>
      <c r="D12" s="4"/>
      <c r="E12" s="6"/>
      <c r="F12" s="6"/>
      <c r="G12" s="6"/>
      <c r="H12" s="4"/>
      <c r="I12" s="4"/>
      <c r="J12" s="4"/>
      <c r="K12" s="4"/>
    </row>
    <row r="13" spans="1:11">
      <c r="A13" s="5"/>
      <c r="B13" s="4"/>
      <c r="C13" s="4"/>
      <c r="D13" s="4"/>
      <c r="E13" s="6"/>
      <c r="F13" s="6"/>
      <c r="G13" s="6"/>
      <c r="H13" s="4"/>
      <c r="I13" s="4"/>
      <c r="J13" s="4"/>
      <c r="K13" s="4"/>
    </row>
    <row r="14" spans="1:11">
      <c r="A14" s="5"/>
      <c r="B14" s="4"/>
      <c r="C14" s="4"/>
      <c r="D14" s="4"/>
      <c r="E14" s="6"/>
      <c r="F14" s="6"/>
      <c r="G14" s="6"/>
      <c r="H14" s="4"/>
      <c r="I14" s="4"/>
      <c r="J14" s="4"/>
      <c r="K14" s="4"/>
    </row>
    <row r="15" spans="1:11">
      <c r="A15" s="5"/>
      <c r="B15" s="4"/>
      <c r="C15" s="4"/>
      <c r="D15" s="4"/>
      <c r="E15" s="6"/>
      <c r="F15" s="6"/>
      <c r="G15" s="6"/>
      <c r="H15" s="4"/>
      <c r="I15" s="4"/>
      <c r="J15" s="4"/>
      <c r="K15" s="4"/>
    </row>
    <row r="16" spans="1:11">
      <c r="A16" s="5"/>
      <c r="B16" s="4"/>
      <c r="C16" s="4"/>
      <c r="D16" s="4"/>
      <c r="E16" s="6"/>
      <c r="F16" s="6"/>
      <c r="G16" s="6"/>
      <c r="H16" s="4"/>
      <c r="I16" s="4"/>
      <c r="J16" s="4"/>
      <c r="K16" s="4"/>
    </row>
    <row r="17" spans="1:11">
      <c r="A17" s="5"/>
      <c r="B17" s="4"/>
      <c r="C17" s="4"/>
      <c r="D17" s="4"/>
      <c r="E17" s="6"/>
      <c r="F17" s="6"/>
      <c r="G17" s="6"/>
      <c r="H17" s="4"/>
      <c r="I17" s="4"/>
      <c r="J17" s="4"/>
      <c r="K17" s="4"/>
    </row>
    <row r="18" spans="1:11">
      <c r="A18" s="5"/>
      <c r="B18" s="4"/>
      <c r="C18" s="4"/>
      <c r="D18" s="4"/>
      <c r="E18" s="6"/>
      <c r="F18" s="6"/>
      <c r="G18" s="6"/>
      <c r="H18" s="4"/>
      <c r="I18" s="4"/>
      <c r="J18" s="4"/>
      <c r="K18" s="4"/>
    </row>
    <row r="19" spans="1:11">
      <c r="A19" s="5"/>
      <c r="B19" s="4"/>
      <c r="C19" s="4"/>
      <c r="D19" s="4"/>
      <c r="E19" s="6"/>
      <c r="F19" s="6"/>
      <c r="G19" s="6"/>
      <c r="H19" s="4"/>
      <c r="I19" s="4"/>
      <c r="J19" s="4"/>
      <c r="K19" s="4"/>
    </row>
    <row r="20" spans="1:11">
      <c r="A20" s="5"/>
      <c r="B20" s="4"/>
      <c r="C20" s="4"/>
      <c r="D20" s="4"/>
      <c r="E20" s="6"/>
      <c r="F20" s="6"/>
      <c r="G20" s="6"/>
      <c r="H20" s="4"/>
      <c r="I20" s="4"/>
      <c r="J20" s="4"/>
      <c r="K20" s="4"/>
    </row>
    <row r="21" spans="1:11">
      <c r="A21" s="5"/>
      <c r="B21" s="4"/>
      <c r="C21" s="4"/>
      <c r="D21" s="4"/>
      <c r="E21" s="6"/>
      <c r="F21" s="6"/>
      <c r="G21" s="6"/>
      <c r="H21" s="4"/>
      <c r="I21" s="4"/>
      <c r="J21" s="4"/>
      <c r="K21" s="4"/>
    </row>
    <row r="22" spans="1:11">
      <c r="A22" s="5"/>
      <c r="B22" s="4"/>
      <c r="C22" s="4"/>
      <c r="D22" s="4"/>
      <c r="E22" s="6"/>
      <c r="F22" s="6"/>
      <c r="G22" s="6"/>
      <c r="H22" s="4"/>
      <c r="I22" s="4"/>
      <c r="J22" s="4"/>
      <c r="K22" s="4"/>
    </row>
    <row r="23" spans="1:11">
      <c r="A23" s="5"/>
      <c r="B23" s="4"/>
      <c r="C23" s="4"/>
      <c r="D23" s="4"/>
      <c r="E23" s="6"/>
      <c r="F23" s="6"/>
      <c r="G23" s="6"/>
      <c r="H23" s="4"/>
      <c r="I23" s="4"/>
      <c r="J23" s="4"/>
      <c r="K23" s="4"/>
    </row>
    <row r="24" spans="1:11">
      <c r="A24" s="5"/>
      <c r="B24" s="4"/>
      <c r="C24" s="4"/>
      <c r="D24" s="4"/>
      <c r="E24" s="6"/>
      <c r="F24" s="6"/>
      <c r="G24" s="6"/>
      <c r="H24" s="4"/>
      <c r="I24" s="4"/>
      <c r="J24" s="4"/>
      <c r="K24" s="4"/>
    </row>
    <row r="25" spans="1:11">
      <c r="A25" s="5"/>
      <c r="B25" s="4"/>
      <c r="C25" s="4"/>
      <c r="D25" s="4"/>
      <c r="E25" s="6"/>
      <c r="F25" s="6"/>
      <c r="G25" s="6"/>
      <c r="H25" s="4"/>
      <c r="I25" s="4"/>
      <c r="J25" s="4"/>
      <c r="K25" s="4"/>
    </row>
    <row r="26" spans="1:11">
      <c r="A26" s="5"/>
      <c r="B26" s="4"/>
      <c r="C26" s="4"/>
      <c r="D26" s="4"/>
      <c r="E26" s="6"/>
      <c r="F26" s="6"/>
      <c r="G26" s="6"/>
      <c r="H26" s="4"/>
      <c r="I26" s="4"/>
      <c r="J26" s="4"/>
      <c r="K26" s="4"/>
    </row>
    <row r="27" spans="1:11">
      <c r="A27" s="5"/>
      <c r="B27" s="4"/>
      <c r="C27" s="4"/>
      <c r="D27" s="4"/>
      <c r="E27" s="6"/>
      <c r="F27" s="6"/>
      <c r="G27" s="6"/>
      <c r="H27" s="4"/>
      <c r="I27" s="4"/>
      <c r="J27" s="4"/>
      <c r="K27" s="4"/>
    </row>
    <row r="28" spans="1:11">
      <c r="A28" s="5"/>
      <c r="B28" s="4"/>
      <c r="C28" s="4"/>
      <c r="D28" s="4"/>
      <c r="E28" s="6"/>
      <c r="F28" s="6"/>
      <c r="G28" s="6"/>
      <c r="H28" s="4"/>
      <c r="I28" s="4"/>
      <c r="J28" s="4"/>
      <c r="K28" s="4"/>
    </row>
    <row r="29" spans="1:11">
      <c r="A29" s="5"/>
      <c r="B29" s="4"/>
      <c r="C29" s="4"/>
      <c r="D29" s="4"/>
      <c r="E29" s="6"/>
      <c r="F29" s="6"/>
      <c r="G29" s="6"/>
      <c r="H29" s="4"/>
      <c r="I29" s="4"/>
      <c r="J29" s="4"/>
      <c r="K29" s="4"/>
    </row>
    <row r="30" spans="1:11">
      <c r="A30" s="5"/>
      <c r="B30" s="4"/>
      <c r="C30" s="4"/>
      <c r="D30" s="4"/>
      <c r="E30" s="6"/>
      <c r="F30" s="6"/>
      <c r="G30" s="6"/>
      <c r="H30" s="4"/>
      <c r="I30" s="4"/>
      <c r="J30" s="4"/>
      <c r="K30" s="4"/>
    </row>
    <row r="31" spans="1:11">
      <c r="A31" s="5"/>
      <c r="B31" s="4"/>
      <c r="C31" s="4"/>
      <c r="D31" s="4"/>
      <c r="E31" s="6"/>
      <c r="F31" s="6"/>
      <c r="G31" s="6"/>
      <c r="H31" s="4"/>
      <c r="I31" s="4"/>
      <c r="J31" s="4"/>
      <c r="K31" s="4"/>
    </row>
    <row r="32" spans="1:11">
      <c r="A32" s="5"/>
      <c r="B32" s="4"/>
      <c r="C32" s="4"/>
      <c r="D32" s="4"/>
      <c r="E32" s="6"/>
      <c r="F32" s="6"/>
      <c r="G32" s="6"/>
      <c r="H32" s="4"/>
      <c r="I32" s="4"/>
      <c r="J32" s="4"/>
      <c r="K32" s="4"/>
    </row>
    <row r="33" spans="1:11">
      <c r="A33" s="5"/>
      <c r="B33" s="4"/>
      <c r="C33" s="4"/>
      <c r="D33" s="4"/>
      <c r="E33" s="6"/>
      <c r="F33" s="6"/>
      <c r="G33" s="6"/>
      <c r="H33" s="4"/>
      <c r="I33" s="4"/>
      <c r="J33" s="4"/>
      <c r="K33" s="4"/>
    </row>
    <row r="34" spans="1:11">
      <c r="A34" s="5"/>
      <c r="B34" s="4"/>
      <c r="C34" s="4"/>
      <c r="D34" s="4"/>
      <c r="E34" s="6"/>
      <c r="F34" s="6"/>
      <c r="G34" s="6"/>
      <c r="H34" s="4"/>
      <c r="I34" s="4"/>
      <c r="J34" s="4"/>
      <c r="K34" s="4"/>
    </row>
    <row r="35" spans="1:11">
      <c r="A35" s="5"/>
      <c r="B35" s="4"/>
      <c r="C35" s="4"/>
      <c r="D35" s="4"/>
      <c r="E35" s="6"/>
      <c r="F35" s="6"/>
      <c r="G35" s="6"/>
      <c r="H35" s="4"/>
      <c r="I35" s="4"/>
      <c r="J35" s="4"/>
      <c r="K35" s="4"/>
    </row>
    <row r="36" spans="1:11">
      <c r="A36" s="5"/>
      <c r="B36" s="4"/>
      <c r="C36" s="4"/>
      <c r="D36" s="4"/>
      <c r="E36" s="6"/>
      <c r="F36" s="6"/>
      <c r="G36" s="6"/>
      <c r="H36" s="4"/>
      <c r="I36" s="4"/>
      <c r="J36" s="4"/>
      <c r="K36" s="4"/>
    </row>
    <row r="37" spans="1:11">
      <c r="A37" s="5"/>
      <c r="B37" s="4"/>
      <c r="C37" s="4"/>
      <c r="D37" s="4"/>
      <c r="E37" s="6"/>
      <c r="F37" s="6"/>
      <c r="G37" s="6"/>
      <c r="H37" s="4"/>
      <c r="I37" s="4"/>
      <c r="J37" s="4"/>
      <c r="K37" s="4"/>
    </row>
    <row r="38" spans="1:11">
      <c r="A38" s="5"/>
      <c r="B38" s="4"/>
      <c r="C38" s="4"/>
      <c r="D38" s="4"/>
      <c r="E38" s="6"/>
      <c r="F38" s="6"/>
      <c r="G38" s="6"/>
      <c r="H38" s="4"/>
      <c r="I38" s="4"/>
      <c r="J38" s="4"/>
      <c r="K38" s="4"/>
    </row>
    <row r="39" spans="1:11">
      <c r="A39" s="5"/>
      <c r="B39" s="4"/>
      <c r="C39" s="4"/>
      <c r="D39" s="4"/>
      <c r="E39" s="6"/>
      <c r="F39" s="6"/>
      <c r="G39" s="6"/>
      <c r="H39" s="4"/>
      <c r="I39" s="4"/>
      <c r="J39" s="4"/>
      <c r="K39" s="4"/>
    </row>
    <row r="40" spans="1:11">
      <c r="A40" s="5"/>
      <c r="B40" s="4"/>
      <c r="C40" s="4"/>
      <c r="D40" s="4"/>
      <c r="E40" s="6"/>
      <c r="F40" s="6"/>
      <c r="G40" s="6"/>
      <c r="H40" s="4"/>
      <c r="I40" s="4"/>
      <c r="J40" s="4"/>
      <c r="K40" s="4"/>
    </row>
    <row r="41" spans="1:11">
      <c r="A41" s="5"/>
      <c r="B41" s="4"/>
      <c r="C41" s="4"/>
      <c r="D41" s="4"/>
      <c r="E41" s="6"/>
      <c r="F41" s="6"/>
      <c r="G41" s="6"/>
      <c r="H41" s="4"/>
      <c r="I41" s="4"/>
      <c r="J41" s="4"/>
      <c r="K41" s="4"/>
    </row>
    <row r="42" spans="1:11">
      <c r="A42" s="5"/>
      <c r="B42" s="4"/>
      <c r="C42" s="4"/>
      <c r="D42" s="4"/>
      <c r="E42" s="6"/>
      <c r="F42" s="6"/>
      <c r="G42" s="6"/>
      <c r="H42" s="4"/>
      <c r="I42" s="4"/>
      <c r="J42" s="4"/>
      <c r="K42" s="4"/>
    </row>
    <row r="43" spans="1:11">
      <c r="A43" s="5"/>
      <c r="B43" s="4"/>
      <c r="C43" s="4"/>
      <c r="D43" s="4"/>
      <c r="E43" s="6"/>
      <c r="F43" s="6"/>
      <c r="G43" s="6"/>
      <c r="H43" s="4"/>
      <c r="I43" s="4"/>
      <c r="J43" s="4"/>
      <c r="K43" s="4"/>
    </row>
    <row r="44" spans="1:11">
      <c r="A44" s="5"/>
      <c r="B44" s="4"/>
      <c r="C44" s="4"/>
      <c r="D44" s="4"/>
      <c r="E44" s="6"/>
      <c r="F44" s="6"/>
      <c r="G44" s="6"/>
      <c r="H44" s="4"/>
      <c r="I44" s="4"/>
      <c r="J44" s="4"/>
      <c r="K44" s="4"/>
    </row>
    <row r="45" spans="1:11">
      <c r="A45" s="5"/>
      <c r="B45" s="4"/>
      <c r="C45" s="4"/>
      <c r="D45" s="4"/>
      <c r="E45" s="6"/>
      <c r="F45" s="6"/>
      <c r="G45" s="6"/>
      <c r="H45" s="4"/>
      <c r="I45" s="4"/>
      <c r="J45" s="4"/>
      <c r="K45" s="4"/>
    </row>
    <row r="46" spans="1:11">
      <c r="A46" s="5"/>
      <c r="B46" s="4"/>
      <c r="C46" s="4"/>
      <c r="D46" s="4"/>
      <c r="E46" s="6"/>
      <c r="F46" s="6"/>
      <c r="G46" s="6"/>
      <c r="H46" s="4"/>
      <c r="I46" s="4"/>
      <c r="J46" s="4"/>
      <c r="K46" s="4"/>
    </row>
    <row r="47" spans="1:11">
      <c r="A47" s="5"/>
      <c r="B47" s="4"/>
      <c r="C47" s="4"/>
      <c r="D47" s="4"/>
      <c r="E47" s="6"/>
      <c r="F47" s="6"/>
      <c r="G47" s="6"/>
      <c r="H47" s="4"/>
      <c r="I47" s="4"/>
      <c r="J47" s="4"/>
      <c r="K47" s="4"/>
    </row>
    <row r="48" spans="1:11">
      <c r="A48" s="5"/>
      <c r="B48" s="4"/>
      <c r="C48" s="4"/>
      <c r="D48" s="4"/>
      <c r="E48" s="6"/>
      <c r="F48" s="6"/>
      <c r="G48" s="6"/>
      <c r="H48" s="4"/>
      <c r="I48" s="4"/>
      <c r="J48" s="4"/>
      <c r="K48" s="4"/>
    </row>
    <row r="49" spans="1:11">
      <c r="A49" s="5"/>
      <c r="B49" s="4"/>
      <c r="C49" s="4"/>
      <c r="D49" s="4"/>
      <c r="E49" s="6"/>
      <c r="F49" s="6"/>
      <c r="G49" s="6"/>
      <c r="H49" s="4"/>
      <c r="I49" s="4"/>
      <c r="J49" s="4"/>
      <c r="K49" s="4"/>
    </row>
    <row r="50" spans="1:11">
      <c r="A50" s="5"/>
      <c r="B50" s="4"/>
      <c r="C50" s="4"/>
      <c r="D50" s="4"/>
      <c r="E50" s="6"/>
      <c r="F50" s="6"/>
      <c r="G50" s="6"/>
      <c r="H50" s="4"/>
      <c r="I50" s="4"/>
      <c r="J50" s="4"/>
      <c r="K50" s="4"/>
    </row>
    <row r="51" spans="1:11">
      <c r="A51" s="5"/>
      <c r="B51" s="4"/>
      <c r="C51" s="4"/>
      <c r="D51" s="4"/>
      <c r="E51" s="6"/>
      <c r="F51" s="6"/>
      <c r="G51" s="6"/>
      <c r="H51" s="4"/>
      <c r="I51" s="4"/>
      <c r="J51" s="4"/>
      <c r="K51" s="4"/>
    </row>
    <row r="52" spans="1:11">
      <c r="A52" s="5"/>
      <c r="B52" s="4"/>
      <c r="C52" s="4"/>
      <c r="D52" s="4"/>
      <c r="E52" s="6"/>
      <c r="F52" s="6"/>
      <c r="G52" s="6"/>
      <c r="H52" s="4"/>
      <c r="I52" s="4"/>
      <c r="J52" s="4"/>
      <c r="K52" s="4"/>
    </row>
    <row r="53" spans="1:11">
      <c r="A53" s="5"/>
      <c r="B53" s="4"/>
      <c r="C53" s="4"/>
      <c r="D53" s="4"/>
      <c r="E53" s="6"/>
      <c r="F53" s="6"/>
      <c r="G53" s="6"/>
      <c r="H53" s="4"/>
      <c r="I53" s="4"/>
      <c r="J53" s="4"/>
      <c r="K53" s="4"/>
    </row>
    <row r="54" spans="1:11">
      <c r="A54" s="5"/>
      <c r="B54" s="4"/>
      <c r="C54" s="4"/>
      <c r="D54" s="4"/>
      <c r="E54" s="6"/>
      <c r="F54" s="6"/>
      <c r="G54" s="6"/>
      <c r="H54" s="4"/>
      <c r="I54" s="4"/>
      <c r="J54" s="4"/>
      <c r="K54" s="4"/>
    </row>
    <row r="55" spans="1:11">
      <c r="A55" s="5"/>
      <c r="B55" s="4"/>
      <c r="C55" s="4"/>
      <c r="D55" s="4"/>
      <c r="E55" s="6"/>
      <c r="F55" s="6"/>
      <c r="G55" s="6"/>
      <c r="H55" s="4"/>
      <c r="I55" s="4"/>
      <c r="J55" s="4"/>
      <c r="K55" s="4"/>
    </row>
    <row r="56" spans="1:11">
      <c r="A56" s="5"/>
      <c r="B56" s="4"/>
      <c r="C56" s="4"/>
      <c r="D56" s="4"/>
      <c r="E56" s="6"/>
      <c r="F56" s="6"/>
      <c r="G56" s="6"/>
      <c r="H56" s="4"/>
      <c r="I56" s="4"/>
      <c r="J56" s="4"/>
      <c r="K56" s="4"/>
    </row>
    <row r="57" spans="1:11">
      <c r="A57" s="5"/>
      <c r="B57" s="4"/>
      <c r="C57" s="4"/>
      <c r="D57" s="4"/>
      <c r="E57" s="6"/>
      <c r="F57" s="6"/>
      <c r="G57" s="6"/>
      <c r="H57" s="4"/>
      <c r="I57" s="4"/>
      <c r="J57" s="4"/>
      <c r="K57" s="4"/>
    </row>
    <row r="58" spans="1:11">
      <c r="A58" s="5"/>
      <c r="B58" s="4"/>
      <c r="C58" s="4"/>
      <c r="D58" s="4"/>
      <c r="E58" s="6"/>
      <c r="F58" s="6"/>
      <c r="G58" s="6"/>
      <c r="H58" s="4"/>
      <c r="I58" s="4"/>
      <c r="J58" s="4"/>
      <c r="K58" s="4"/>
    </row>
    <row r="59" spans="1:11">
      <c r="A59" s="5"/>
      <c r="B59" s="4"/>
      <c r="C59" s="4"/>
      <c r="D59" s="4"/>
      <c r="E59" s="6"/>
      <c r="F59" s="6"/>
      <c r="G59" s="6"/>
      <c r="H59" s="4"/>
      <c r="I59" s="4"/>
      <c r="J59" s="4"/>
      <c r="K59" s="4"/>
    </row>
    <row r="60" spans="1:11">
      <c r="A60" s="5"/>
      <c r="B60" s="4"/>
      <c r="C60" s="4"/>
      <c r="D60" s="4"/>
      <c r="E60" s="6"/>
      <c r="F60" s="6"/>
      <c r="G60" s="6"/>
      <c r="H60" s="4"/>
      <c r="I60" s="4"/>
      <c r="J60" s="4"/>
      <c r="K60" s="4"/>
    </row>
    <row r="61" spans="1:11">
      <c r="A61" s="1"/>
      <c r="E61" s="2"/>
      <c r="F61" s="2"/>
      <c r="G61" s="2"/>
    </row>
    <row r="62" spans="1:11">
      <c r="A62" s="1"/>
      <c r="E62" s="2"/>
      <c r="F62" s="2"/>
      <c r="G62" s="2"/>
    </row>
    <row r="63" spans="1:11">
      <c r="A63" s="1"/>
      <c r="E63" s="2"/>
      <c r="F63" s="2"/>
      <c r="G63" s="2"/>
    </row>
    <row r="64" spans="1:11">
      <c r="A64" s="1"/>
      <c r="E64" s="2"/>
      <c r="F64" s="2"/>
      <c r="G64" s="2"/>
    </row>
    <row r="65" spans="1:7">
      <c r="A65" s="1"/>
      <c r="E65" s="2"/>
      <c r="F65" s="2"/>
      <c r="G65" s="2"/>
    </row>
    <row r="66" spans="1:7">
      <c r="A66" s="1"/>
      <c r="E66" s="2"/>
      <c r="F66" s="2"/>
      <c r="G66" s="2"/>
    </row>
    <row r="67" spans="1:7">
      <c r="A67" s="1"/>
      <c r="E67" s="2"/>
      <c r="F67" s="2"/>
      <c r="G67" s="2"/>
    </row>
    <row r="68" spans="1:7">
      <c r="A68" s="1"/>
      <c r="E68" s="2"/>
      <c r="F68" s="2"/>
      <c r="G68" s="2"/>
    </row>
    <row r="69" spans="1:7">
      <c r="A69" s="1"/>
      <c r="E69" s="2"/>
      <c r="F69" s="2"/>
      <c r="G69" s="2"/>
    </row>
    <row r="70" spans="1:7">
      <c r="A70" s="1"/>
      <c r="E70" s="2"/>
      <c r="F70" s="2"/>
      <c r="G70" s="2"/>
    </row>
    <row r="71" spans="1:7">
      <c r="A71" s="1"/>
      <c r="E71" s="2"/>
      <c r="F71" s="2"/>
      <c r="G71" s="2"/>
    </row>
    <row r="72" spans="1:7">
      <c r="A72" s="1"/>
      <c r="E72" s="2"/>
      <c r="F72" s="2"/>
      <c r="G72" s="2"/>
    </row>
    <row r="73" spans="1:7">
      <c r="A73" s="1"/>
      <c r="E73" s="2"/>
      <c r="F73" s="2"/>
      <c r="G73" s="2"/>
    </row>
    <row r="74" spans="1:7">
      <c r="A74" s="1"/>
      <c r="E74" s="2"/>
      <c r="F74" s="2"/>
      <c r="G74" s="2"/>
    </row>
    <row r="75" spans="1:7">
      <c r="A75" s="1"/>
      <c r="E75" s="2"/>
      <c r="F75" s="2"/>
      <c r="G75" s="2"/>
    </row>
    <row r="76" spans="1:7">
      <c r="A76" s="1"/>
      <c r="E76" s="2"/>
      <c r="F76" s="2"/>
      <c r="G76" s="2"/>
    </row>
    <row r="77" spans="1:7">
      <c r="A77" s="1"/>
      <c r="E77" s="2"/>
      <c r="F77" s="2"/>
      <c r="G77" s="2"/>
    </row>
    <row r="78" spans="1:7">
      <c r="A78" s="1"/>
      <c r="E78" s="2"/>
      <c r="F78" s="2"/>
      <c r="G78" s="2"/>
    </row>
    <row r="79" spans="1:7">
      <c r="A79" s="1"/>
      <c r="E79" s="2"/>
      <c r="F79" s="2"/>
      <c r="G79" s="2"/>
    </row>
    <row r="80" spans="1:7">
      <c r="A80" s="1"/>
      <c r="E80" s="2"/>
      <c r="F80" s="2"/>
      <c r="G80" s="2"/>
    </row>
    <row r="81" spans="1:7">
      <c r="A81" s="1"/>
      <c r="E81" s="2"/>
      <c r="F81" s="2"/>
      <c r="G81" s="2"/>
    </row>
    <row r="82" spans="1:7">
      <c r="A82" s="1"/>
      <c r="E82" s="2"/>
      <c r="F82" s="2"/>
      <c r="G82" s="2"/>
    </row>
    <row r="83" spans="1:7">
      <c r="A83" s="1"/>
      <c r="E83" s="2"/>
      <c r="F83" s="2"/>
      <c r="G83" s="2"/>
    </row>
    <row r="84" spans="1:7">
      <c r="A84" s="1"/>
      <c r="E84" s="2"/>
      <c r="F84" s="2"/>
      <c r="G84" s="2"/>
    </row>
    <row r="85" spans="1:7">
      <c r="A85" s="1"/>
      <c r="E85" s="2"/>
      <c r="F85" s="2"/>
      <c r="G85" s="2"/>
    </row>
    <row r="86" spans="1:7">
      <c r="A86" s="1"/>
      <c r="E86" s="2"/>
      <c r="F86" s="2"/>
      <c r="G86" s="2"/>
    </row>
    <row r="87" spans="1:7">
      <c r="A87" s="1"/>
      <c r="E87" s="2"/>
      <c r="F87" s="2"/>
      <c r="G87" s="2"/>
    </row>
    <row r="88" spans="1:7">
      <c r="A88" s="1"/>
      <c r="E88" s="2"/>
      <c r="F88" s="2"/>
      <c r="G88" s="2"/>
    </row>
    <row r="89" spans="1:7">
      <c r="A89" s="1"/>
      <c r="E89" s="2"/>
      <c r="F89" s="2"/>
      <c r="G89" s="2"/>
    </row>
    <row r="90" spans="1:7">
      <c r="A90" s="1"/>
      <c r="E90" s="2"/>
      <c r="F90" s="2"/>
      <c r="G90" s="2"/>
    </row>
    <row r="91" spans="1:7">
      <c r="A91" s="1"/>
      <c r="E91" s="2"/>
      <c r="F91" s="2"/>
      <c r="G91" s="2"/>
    </row>
    <row r="92" spans="1:7">
      <c r="A92" s="1"/>
      <c r="E92" s="2"/>
      <c r="F92" s="2"/>
      <c r="G92" s="2"/>
    </row>
    <row r="93" spans="1:7">
      <c r="A93" s="1"/>
      <c r="E93" s="2"/>
      <c r="F93" s="2"/>
      <c r="G93" s="2"/>
    </row>
    <row r="94" spans="1:7">
      <c r="A94" s="1"/>
      <c r="E94" s="2"/>
      <c r="F94" s="2"/>
      <c r="G94" s="2"/>
    </row>
    <row r="95" spans="1:7">
      <c r="A95" s="1"/>
      <c r="E95" s="2"/>
      <c r="F95" s="2"/>
      <c r="G95" s="2"/>
    </row>
    <row r="96" spans="1:7">
      <c r="A96" s="1"/>
      <c r="E96" s="2"/>
      <c r="F96" s="2"/>
      <c r="G96" s="2"/>
    </row>
    <row r="97" spans="1:7">
      <c r="A97" s="1"/>
      <c r="E97" s="2"/>
      <c r="F97" s="2"/>
      <c r="G97" s="2"/>
    </row>
    <row r="98" spans="1:7">
      <c r="A98" s="1"/>
      <c r="E98" s="2"/>
      <c r="F98" s="2"/>
      <c r="G98" s="2"/>
    </row>
    <row r="99" spans="1:7">
      <c r="A99" s="1"/>
      <c r="E99" s="2"/>
      <c r="F99" s="2"/>
      <c r="G99" s="2"/>
    </row>
    <row r="100" spans="1:7">
      <c r="A100" s="1"/>
      <c r="E100" s="2"/>
      <c r="F100" s="2"/>
      <c r="G100" s="2"/>
    </row>
    <row r="101" spans="1:7">
      <c r="A101" s="1"/>
      <c r="E101" s="2"/>
      <c r="F101" s="2"/>
      <c r="G101" s="2"/>
    </row>
    <row r="102" spans="1:7">
      <c r="A102" s="1"/>
      <c r="E102" s="2"/>
      <c r="F102" s="2"/>
      <c r="G102" s="2"/>
    </row>
    <row r="103" spans="1:7">
      <c r="A103" s="1"/>
      <c r="E103" s="2"/>
      <c r="F103" s="2"/>
      <c r="G103" s="2"/>
    </row>
    <row r="104" spans="1:7">
      <c r="A104" s="1"/>
      <c r="E104" s="2"/>
      <c r="F104" s="2"/>
      <c r="G104" s="2"/>
    </row>
    <row r="105" spans="1:7">
      <c r="A105" s="1"/>
      <c r="E105" s="2"/>
      <c r="F105" s="2"/>
      <c r="G105" s="2"/>
    </row>
    <row r="106" spans="1:7">
      <c r="A106" s="1"/>
      <c r="E106" s="2"/>
      <c r="F106" s="2"/>
      <c r="G106" s="2"/>
    </row>
    <row r="107" spans="1:7">
      <c r="A107" s="1"/>
      <c r="E107" s="2"/>
      <c r="F107" s="2"/>
      <c r="G107" s="2"/>
    </row>
    <row r="108" spans="1:7">
      <c r="A108" s="1"/>
      <c r="E108" s="2"/>
      <c r="F108" s="2"/>
      <c r="G108" s="2"/>
    </row>
    <row r="109" spans="1:7">
      <c r="A109" s="1"/>
      <c r="E109" s="2"/>
      <c r="F109" s="2"/>
      <c r="G109" s="2"/>
    </row>
    <row r="110" spans="1:7">
      <c r="A110" s="1"/>
      <c r="E110" s="2"/>
      <c r="F110" s="2"/>
      <c r="G110" s="2"/>
    </row>
    <row r="111" spans="1:7">
      <c r="A111" s="1"/>
      <c r="E111" s="2"/>
      <c r="F111" s="2"/>
      <c r="G111" s="2"/>
    </row>
    <row r="112" spans="1:7">
      <c r="A112" s="1"/>
      <c r="E112" s="2"/>
      <c r="F112" s="2"/>
      <c r="G112" s="2"/>
    </row>
    <row r="113" spans="1:7">
      <c r="A113" s="1"/>
      <c r="E113" s="2"/>
      <c r="F113" s="2"/>
      <c r="G113" s="2"/>
    </row>
    <row r="114" spans="1:7">
      <c r="A114" s="1"/>
      <c r="E114" s="2"/>
      <c r="F114" s="2"/>
      <c r="G114" s="2"/>
    </row>
    <row r="115" spans="1:7">
      <c r="A115" s="1"/>
      <c r="E115" s="2"/>
      <c r="F115" s="2"/>
      <c r="G115" s="2"/>
    </row>
    <row r="116" spans="1:7">
      <c r="A116" s="1"/>
      <c r="E116" s="2"/>
      <c r="F116" s="2"/>
      <c r="G116" s="2"/>
    </row>
    <row r="117" spans="1:7">
      <c r="A117" s="1"/>
      <c r="E117" s="2"/>
      <c r="F117" s="2"/>
      <c r="G117" s="2"/>
    </row>
    <row r="118" spans="1:7">
      <c r="A118" s="1"/>
      <c r="E118" s="2"/>
      <c r="F118" s="2"/>
      <c r="G118" s="2"/>
    </row>
    <row r="119" spans="1:7">
      <c r="A119" s="1"/>
      <c r="E119" s="2"/>
      <c r="F119" s="2"/>
      <c r="G119" s="2"/>
    </row>
    <row r="120" spans="1:7">
      <c r="A120" s="1"/>
      <c r="E120" s="2"/>
      <c r="F120" s="2"/>
      <c r="G120" s="2"/>
    </row>
    <row r="121" spans="1:7">
      <c r="A121" s="1"/>
      <c r="E121" s="2"/>
      <c r="F121" s="2"/>
      <c r="G121" s="2"/>
    </row>
    <row r="122" spans="1:7">
      <c r="A122" s="1"/>
      <c r="E122" s="2"/>
      <c r="F122" s="2"/>
      <c r="G122" s="2"/>
    </row>
    <row r="123" spans="1:7">
      <c r="A123" s="1"/>
      <c r="E123" s="2"/>
      <c r="F123" s="2"/>
      <c r="G123" s="2"/>
    </row>
    <row r="124" spans="1:7">
      <c r="A124" s="1"/>
      <c r="E124" s="2"/>
      <c r="F124" s="2"/>
      <c r="G124" s="2"/>
    </row>
    <row r="125" spans="1:7">
      <c r="A125" s="1"/>
      <c r="E125" s="2"/>
      <c r="F125" s="2"/>
      <c r="G125" s="2"/>
    </row>
    <row r="126" spans="1:7">
      <c r="A126" s="1"/>
      <c r="E126" s="2"/>
      <c r="F126" s="2"/>
      <c r="G126" s="2"/>
    </row>
    <row r="127" spans="1:7">
      <c r="A127" s="1"/>
      <c r="E127" s="2"/>
      <c r="F127" s="2"/>
      <c r="G127" s="2"/>
    </row>
    <row r="128" spans="1:7">
      <c r="A128" s="1"/>
      <c r="E128" s="2"/>
      <c r="F128" s="2"/>
      <c r="G128" s="2"/>
    </row>
    <row r="129" spans="1:7">
      <c r="A129" s="1"/>
      <c r="E129" s="2"/>
      <c r="F129" s="2"/>
      <c r="G129" s="2"/>
    </row>
    <row r="130" spans="1:7">
      <c r="A130" s="1"/>
      <c r="E130" s="2"/>
      <c r="F130" s="2"/>
      <c r="G130" s="2"/>
    </row>
    <row r="131" spans="1:7">
      <c r="A131" s="1"/>
      <c r="E131" s="2"/>
      <c r="F131" s="2"/>
      <c r="G131" s="2"/>
    </row>
    <row r="132" spans="1:7">
      <c r="A132" s="1"/>
      <c r="E132" s="2"/>
      <c r="F132" s="2"/>
      <c r="G132" s="2"/>
    </row>
    <row r="133" spans="1:7">
      <c r="A133" s="1"/>
      <c r="E133" s="2"/>
      <c r="F133" s="2"/>
      <c r="G133" s="2"/>
    </row>
    <row r="134" spans="1:7">
      <c r="A134" s="1"/>
      <c r="E134" s="2"/>
      <c r="F134" s="2"/>
      <c r="G134" s="2"/>
    </row>
    <row r="135" spans="1:7">
      <c r="A135" s="1"/>
      <c r="E135" s="2"/>
      <c r="F135" s="2"/>
      <c r="G135" s="2"/>
    </row>
    <row r="136" spans="1:7">
      <c r="A136" s="1"/>
      <c r="E136" s="2"/>
      <c r="F136" s="2"/>
      <c r="G136" s="2"/>
    </row>
    <row r="137" spans="1:7">
      <c r="A137" s="1"/>
      <c r="E137" s="2"/>
      <c r="F137" s="2"/>
      <c r="G137" s="2"/>
    </row>
    <row r="138" spans="1:7">
      <c r="A138" s="1"/>
      <c r="E138" s="2"/>
      <c r="F138" s="2"/>
      <c r="G138" s="2"/>
    </row>
    <row r="139" spans="1:7">
      <c r="A139" s="1"/>
      <c r="E139" s="2"/>
      <c r="F139" s="2"/>
      <c r="G139" s="2"/>
    </row>
    <row r="140" spans="1:7">
      <c r="A140" s="1"/>
      <c r="E140" s="2"/>
      <c r="F140" s="2"/>
      <c r="G140" s="2"/>
    </row>
    <row r="141" spans="1:7">
      <c r="A141" s="1"/>
      <c r="E141" s="2"/>
      <c r="F141" s="2"/>
      <c r="G141" s="2"/>
    </row>
    <row r="142" spans="1:7">
      <c r="A142" s="1"/>
      <c r="E142" s="2"/>
      <c r="F142" s="2"/>
      <c r="G142" s="2"/>
    </row>
    <row r="143" spans="1:7">
      <c r="A143" s="1"/>
      <c r="E143" s="2"/>
      <c r="F143" s="2"/>
      <c r="G143" s="2"/>
    </row>
    <row r="144" spans="1:7">
      <c r="A144" s="1"/>
      <c r="E144" s="2"/>
      <c r="F144" s="2"/>
      <c r="G144" s="2"/>
    </row>
    <row r="145" spans="1:7">
      <c r="A145" s="1"/>
      <c r="E145" s="2"/>
      <c r="F145" s="2"/>
      <c r="G145" s="2"/>
    </row>
    <row r="146" spans="1:7">
      <c r="A146" s="1"/>
      <c r="E146" s="2"/>
      <c r="F146" s="2"/>
      <c r="G146" s="2"/>
    </row>
    <row r="147" spans="1:7">
      <c r="A147" s="1"/>
      <c r="E147" s="2"/>
      <c r="F147" s="2"/>
      <c r="G147" s="2"/>
    </row>
    <row r="148" spans="1:7">
      <c r="A148" s="1"/>
      <c r="E148" s="2"/>
      <c r="F148" s="2"/>
      <c r="G148" s="2"/>
    </row>
    <row r="149" spans="1:7">
      <c r="A149" s="1"/>
      <c r="E149" s="2"/>
      <c r="F149" s="2"/>
      <c r="G149" s="2"/>
    </row>
    <row r="150" spans="1:7">
      <c r="A150" s="1"/>
      <c r="E150" s="2"/>
      <c r="F150" s="2"/>
      <c r="G150" s="2"/>
    </row>
    <row r="151" spans="1:7">
      <c r="A151" s="1"/>
      <c r="E151" s="2"/>
      <c r="F151" s="2"/>
      <c r="G151" s="2"/>
    </row>
    <row r="152" spans="1:7">
      <c r="A152" s="1"/>
      <c r="E152" s="2"/>
      <c r="F152" s="2"/>
      <c r="G152" s="2"/>
    </row>
    <row r="153" spans="1:7">
      <c r="A153" s="1"/>
      <c r="E153" s="2"/>
      <c r="F153" s="2"/>
      <c r="G153" s="2"/>
    </row>
    <row r="154" spans="1:7">
      <c r="A154" s="1"/>
      <c r="E154" s="2"/>
      <c r="F154" s="2"/>
      <c r="G154" s="2"/>
    </row>
    <row r="155" spans="1:7">
      <c r="A155" s="1"/>
      <c r="E155" s="2"/>
      <c r="F155" s="2"/>
      <c r="G155" s="2"/>
    </row>
    <row r="156" spans="1:7">
      <c r="A156" s="1"/>
      <c r="E156" s="2"/>
      <c r="F156" s="2"/>
      <c r="G156" s="2"/>
    </row>
    <row r="157" spans="1:7">
      <c r="A157" s="1"/>
      <c r="E157" s="2"/>
      <c r="F157" s="2"/>
      <c r="G157" s="2"/>
    </row>
    <row r="158" spans="1:7">
      <c r="A158" s="1"/>
      <c r="E158" s="2"/>
      <c r="F158" s="2"/>
      <c r="G158" s="2"/>
    </row>
    <row r="159" spans="1:7">
      <c r="A159" s="1"/>
      <c r="E159" s="2"/>
      <c r="F159" s="2"/>
      <c r="G159" s="2"/>
    </row>
    <row r="160" spans="1:7">
      <c r="A160" s="1"/>
      <c r="E160" s="2"/>
      <c r="F160" s="2"/>
      <c r="G160" s="2"/>
    </row>
    <row r="161" spans="1:7">
      <c r="A161" s="1"/>
      <c r="E161" s="2"/>
      <c r="F161" s="2"/>
      <c r="G161" s="2"/>
    </row>
    <row r="162" spans="1:7">
      <c r="A162" s="1"/>
      <c r="E162" s="2"/>
      <c r="F162" s="2"/>
      <c r="G162" s="2"/>
    </row>
    <row r="163" spans="1:7">
      <c r="A163" s="1"/>
      <c r="E163" s="2"/>
      <c r="F163" s="2"/>
      <c r="G163" s="2"/>
    </row>
    <row r="164" spans="1:7">
      <c r="A164" s="1"/>
      <c r="E164" s="2"/>
      <c r="F164" s="2"/>
      <c r="G164" s="2"/>
    </row>
    <row r="165" spans="1:7">
      <c r="A165" s="1"/>
      <c r="E165" s="2"/>
      <c r="F165" s="2"/>
      <c r="G165" s="2"/>
    </row>
    <row r="166" spans="1:7">
      <c r="A166" s="1"/>
      <c r="E166" s="2"/>
      <c r="F166" s="2"/>
      <c r="G166" s="2"/>
    </row>
    <row r="167" spans="1:7">
      <c r="A167" s="1"/>
      <c r="E167" s="2"/>
      <c r="F167" s="2"/>
      <c r="G167" s="2"/>
    </row>
    <row r="168" spans="1:7">
      <c r="A168" s="1"/>
      <c r="E168" s="2"/>
      <c r="F168" s="2"/>
      <c r="G168" s="2"/>
    </row>
    <row r="169" spans="1:7">
      <c r="A169" s="1"/>
      <c r="E169" s="2"/>
      <c r="F169" s="2"/>
      <c r="G169" s="2"/>
    </row>
    <row r="170" spans="1:7">
      <c r="A170" s="1"/>
      <c r="E170" s="2"/>
      <c r="F170" s="2"/>
      <c r="G170" s="2"/>
    </row>
    <row r="171" spans="1:7">
      <c r="A171" s="1"/>
      <c r="E171" s="2"/>
      <c r="F171" s="2"/>
      <c r="G171" s="2"/>
    </row>
    <row r="172" spans="1:7">
      <c r="A172" s="1"/>
      <c r="E172" s="2"/>
      <c r="F172" s="2"/>
      <c r="G172" s="2"/>
    </row>
    <row r="173" spans="1:7">
      <c r="A173" s="1"/>
      <c r="E173" s="2"/>
      <c r="F173" s="2"/>
      <c r="G173" s="2"/>
    </row>
    <row r="174" spans="1:7">
      <c r="A174" s="1"/>
      <c r="E174" s="2"/>
      <c r="F174" s="2"/>
      <c r="G174" s="2"/>
    </row>
    <row r="175" spans="1:7">
      <c r="A175" s="1"/>
      <c r="E175" s="2"/>
      <c r="F175" s="2"/>
      <c r="G175" s="2"/>
    </row>
    <row r="176" spans="1:7">
      <c r="A176" s="1"/>
      <c r="E176" s="2"/>
      <c r="F176" s="2"/>
      <c r="G176" s="2"/>
    </row>
    <row r="177" spans="1:7">
      <c r="A177" s="1"/>
      <c r="E177" s="2"/>
      <c r="F177" s="2"/>
      <c r="G177" s="2"/>
    </row>
    <row r="178" spans="1:7">
      <c r="A178" s="1"/>
      <c r="E178" s="2"/>
      <c r="F178" s="2"/>
      <c r="G178" s="2"/>
    </row>
    <row r="179" spans="1:7">
      <c r="A179" s="1"/>
      <c r="E179" s="2"/>
      <c r="F179" s="2"/>
      <c r="G179" s="2"/>
    </row>
    <row r="180" spans="1:7">
      <c r="A180" s="1"/>
      <c r="E180" s="2"/>
      <c r="F180" s="2"/>
      <c r="G180" s="2"/>
    </row>
    <row r="181" spans="1:7">
      <c r="A181" s="1"/>
      <c r="E181" s="2"/>
      <c r="F181" s="2"/>
      <c r="G181" s="2"/>
    </row>
    <row r="182" spans="1:7">
      <c r="A182" s="1"/>
      <c r="E182" s="2"/>
      <c r="F182" s="2"/>
      <c r="G182" s="2"/>
    </row>
    <row r="183" spans="1:7">
      <c r="A183" s="1"/>
      <c r="E183" s="2"/>
      <c r="F183" s="2"/>
      <c r="G183" s="2"/>
    </row>
    <row r="184" spans="1:7">
      <c r="A184" s="1"/>
      <c r="E184" s="2"/>
      <c r="F184" s="2"/>
      <c r="G184" s="2"/>
    </row>
    <row r="185" spans="1:7">
      <c r="A185" s="1"/>
      <c r="E185" s="2"/>
      <c r="F185" s="2"/>
      <c r="G185" s="2"/>
    </row>
    <row r="186" spans="1:7">
      <c r="A186" s="1"/>
      <c r="E186" s="2"/>
      <c r="F186" s="2"/>
      <c r="G186" s="2"/>
    </row>
    <row r="187" spans="1:7">
      <c r="A187" s="1"/>
      <c r="E187" s="2"/>
      <c r="F187" s="2"/>
      <c r="G187" s="2"/>
    </row>
    <row r="188" spans="1:7">
      <c r="A188" s="1"/>
      <c r="E188" s="2"/>
      <c r="F188" s="2"/>
      <c r="G188" s="2"/>
    </row>
    <row r="189" spans="1:7">
      <c r="A189" s="1"/>
      <c r="E189" s="2"/>
      <c r="F189" s="2"/>
      <c r="G189" s="2"/>
    </row>
    <row r="190" spans="1:7">
      <c r="A190" s="1"/>
      <c r="E190" s="2"/>
      <c r="F190" s="2"/>
      <c r="G190" s="2"/>
    </row>
    <row r="191" spans="1:7">
      <c r="A191" s="1"/>
      <c r="E191" s="2"/>
      <c r="F191" s="2"/>
      <c r="G191" s="2"/>
    </row>
    <row r="192" spans="1:7">
      <c r="A192" s="1"/>
      <c r="E192" s="2"/>
      <c r="F192" s="2"/>
      <c r="G192" s="2"/>
    </row>
    <row r="193" spans="1:7">
      <c r="A193" s="1"/>
      <c r="E193" s="2"/>
      <c r="F193" s="2"/>
      <c r="G193" s="2"/>
    </row>
    <row r="194" spans="1:7">
      <c r="A194" s="1"/>
      <c r="E194" s="2"/>
      <c r="F194" s="2"/>
      <c r="G194" s="2"/>
    </row>
    <row r="195" spans="1:7">
      <c r="A195" s="1"/>
      <c r="E195" s="2"/>
      <c r="F195" s="2"/>
      <c r="G195" s="2"/>
    </row>
    <row r="196" spans="1:7">
      <c r="A196" s="1"/>
      <c r="E196" s="2"/>
      <c r="F196" s="2"/>
      <c r="G196" s="2"/>
    </row>
  </sheetData>
  <conditionalFormatting sqref="G2:G196">
    <cfRule type="cellIs" dxfId="3" priority="1" operator="lessThan">
      <formula>0</formula>
    </cfRule>
  </conditionalFormatting>
  <dataValidations count="1">
    <dataValidation type="list" sqref="B2:B196" xr:uid="{00000000-0002-0000-0000-000000000000}">
      <formula1>"Ingreso,Gasto"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Categorias!$B$2:$B$13</xm:f>
          </x14:formula1>
          <xm:sqref>C2:C196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workbookViewId="0">
      <selection activeCell="E36" sqref="E36"/>
    </sheetView>
  </sheetViews>
  <sheetFormatPr baseColWidth="10" defaultColWidth="8.625" defaultRowHeight="14.25"/>
  <cols>
    <col min="1" max="1" width="7.125" customWidth="1"/>
    <col min="2" max="2" width="13.75" bestFit="1" customWidth="1"/>
    <col min="3" max="3" width="23.125" customWidth="1"/>
  </cols>
  <sheetData>
    <row r="1" spans="1:11" ht="15">
      <c r="A1" s="7" t="s">
        <v>1</v>
      </c>
      <c r="B1" s="7" t="s">
        <v>2</v>
      </c>
      <c r="C1" s="7" t="s">
        <v>13</v>
      </c>
      <c r="D1" s="4"/>
      <c r="E1" s="4"/>
      <c r="F1" s="4"/>
      <c r="G1" s="4"/>
      <c r="H1" s="4"/>
      <c r="I1" s="4"/>
      <c r="J1" s="4"/>
      <c r="K1" s="4"/>
    </row>
    <row r="2" spans="1:11" ht="28.5">
      <c r="A2" s="4" t="s">
        <v>7</v>
      </c>
      <c r="B2" s="4" t="s">
        <v>8</v>
      </c>
      <c r="C2" s="4" t="s">
        <v>14</v>
      </c>
      <c r="D2" s="4"/>
      <c r="E2" s="4"/>
      <c r="F2" s="4"/>
      <c r="G2" s="4"/>
      <c r="H2" s="4"/>
      <c r="I2" s="4"/>
      <c r="J2" s="4"/>
      <c r="K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zoomScale="85" zoomScaleNormal="85" workbookViewId="0">
      <selection activeCell="E7" sqref="E7"/>
    </sheetView>
  </sheetViews>
  <sheetFormatPr baseColWidth="10" defaultColWidth="8.625" defaultRowHeight="14.25"/>
  <cols>
    <col min="1" max="1" width="16" customWidth="1"/>
    <col min="2" max="2" width="28" customWidth="1"/>
    <col min="3" max="3" width="18" customWidth="1"/>
    <col min="4" max="4" width="32" customWidth="1"/>
    <col min="5" max="5" width="16" customWidth="1"/>
    <col min="6" max="7" width="14" customWidth="1"/>
    <col min="8" max="8" width="12" customWidth="1"/>
    <col min="10" max="10" width="28" customWidth="1"/>
    <col min="11" max="11" width="16" customWidth="1"/>
  </cols>
  <sheetData>
    <row r="1" spans="1:11" ht="17.45" customHeight="1">
      <c r="A1" s="11" t="s">
        <v>15</v>
      </c>
      <c r="B1" s="11"/>
      <c r="C1" s="11"/>
      <c r="D1" s="11"/>
      <c r="E1" s="11"/>
      <c r="F1" s="11"/>
      <c r="G1" s="11"/>
      <c r="H1" s="11"/>
    </row>
    <row r="2" spans="1:11" ht="17.45" customHeight="1">
      <c r="A2" s="12" t="s">
        <v>16</v>
      </c>
      <c r="B2" s="12"/>
      <c r="C2" s="12"/>
      <c r="D2" s="12"/>
      <c r="E2" s="12"/>
      <c r="F2" s="12"/>
      <c r="G2" s="12"/>
      <c r="H2" s="12"/>
    </row>
    <row r="4" spans="1:11" ht="15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J4" s="8" t="s">
        <v>25</v>
      </c>
      <c r="K4" s="8" t="s">
        <v>26</v>
      </c>
    </row>
    <row r="5" spans="1:11" ht="15">
      <c r="A5" s="4" t="s">
        <v>27</v>
      </c>
      <c r="B5" s="4" t="s">
        <v>28</v>
      </c>
      <c r="C5" s="4" t="s">
        <v>29</v>
      </c>
      <c r="D5" s="4" t="s">
        <v>30</v>
      </c>
      <c r="E5" s="10">
        <v>95</v>
      </c>
      <c r="F5" s="10">
        <v>0</v>
      </c>
      <c r="G5" s="10">
        <v>0</v>
      </c>
      <c r="H5" s="4" t="str">
        <f t="shared" ref="H5:H6" si="0">IF(G5&gt;0,"Moroso","Al día")</f>
        <v>Al día</v>
      </c>
      <c r="J5" t="s">
        <v>31</v>
      </c>
      <c r="K5">
        <f>COUNTA(A5:A24)</f>
        <v>2</v>
      </c>
    </row>
    <row r="6" spans="1:11" ht="15">
      <c r="A6" s="4" t="s">
        <v>32</v>
      </c>
      <c r="B6" s="4" t="s">
        <v>33</v>
      </c>
      <c r="C6" s="4" t="s">
        <v>34</v>
      </c>
      <c r="D6" s="4" t="s">
        <v>35</v>
      </c>
      <c r="E6" s="10">
        <v>95</v>
      </c>
      <c r="F6" s="10">
        <v>0</v>
      </c>
      <c r="G6" s="10">
        <v>190</v>
      </c>
      <c r="H6" s="4" t="str">
        <f t="shared" si="0"/>
        <v>Moroso</v>
      </c>
      <c r="J6" t="s">
        <v>36</v>
      </c>
      <c r="K6">
        <f>COUNTIF(H5:H24,"Al día")</f>
        <v>1</v>
      </c>
    </row>
    <row r="7" spans="1:11">
      <c r="A7" s="4"/>
      <c r="B7" s="4"/>
      <c r="C7" s="4"/>
      <c r="D7" s="4"/>
      <c r="E7" s="10"/>
      <c r="F7" s="10"/>
      <c r="G7" s="10"/>
      <c r="H7" s="4"/>
      <c r="J7" t="s">
        <v>37</v>
      </c>
      <c r="K7">
        <f>COUNTIF(H5:H24,"Moroso")</f>
        <v>1</v>
      </c>
    </row>
    <row r="8" spans="1:11">
      <c r="A8" s="4"/>
      <c r="B8" s="4"/>
      <c r="C8" s="4"/>
      <c r="D8" s="4"/>
      <c r="E8" s="10"/>
      <c r="F8" s="10"/>
      <c r="G8" s="10"/>
      <c r="H8" s="4"/>
      <c r="J8" t="s">
        <v>38</v>
      </c>
      <c r="K8" s="9">
        <f>SUM(E5:E24)</f>
        <v>190</v>
      </c>
    </row>
    <row r="9" spans="1:11">
      <c r="A9" s="4"/>
      <c r="B9" s="4"/>
      <c r="C9" s="4"/>
      <c r="D9" s="4"/>
      <c r="E9" s="10"/>
      <c r="F9" s="10"/>
      <c r="G9" s="10"/>
      <c r="H9" s="4"/>
      <c r="J9" t="s">
        <v>39</v>
      </c>
      <c r="K9" s="9">
        <f>SUM(F5:F24)</f>
        <v>0</v>
      </c>
    </row>
    <row r="10" spans="1:11">
      <c r="A10" s="4"/>
      <c r="B10" s="4"/>
      <c r="C10" s="4"/>
      <c r="D10" s="4"/>
      <c r="E10" s="10"/>
      <c r="F10" s="10"/>
      <c r="G10" s="10"/>
      <c r="H10" s="4"/>
      <c r="J10" t="s">
        <v>40</v>
      </c>
      <c r="K10" s="9">
        <f>SUM(G5:G24)</f>
        <v>190</v>
      </c>
    </row>
    <row r="11" spans="1:11">
      <c r="A11" s="4"/>
      <c r="B11" s="4"/>
      <c r="C11" s="4"/>
      <c r="D11" s="4"/>
      <c r="E11" s="10"/>
      <c r="F11" s="10"/>
      <c r="G11" s="10"/>
      <c r="H11" s="4"/>
    </row>
    <row r="12" spans="1:11">
      <c r="A12" s="4"/>
      <c r="B12" s="4"/>
      <c r="C12" s="4"/>
      <c r="D12" s="4"/>
      <c r="E12" s="10"/>
      <c r="F12" s="10"/>
      <c r="G12" s="10"/>
      <c r="H12" s="4"/>
    </row>
    <row r="13" spans="1:11">
      <c r="A13" s="4"/>
      <c r="B13" s="4"/>
      <c r="C13" s="4"/>
      <c r="D13" s="4"/>
      <c r="E13" s="10"/>
      <c r="F13" s="10"/>
      <c r="G13" s="10"/>
      <c r="H13" s="4"/>
    </row>
    <row r="14" spans="1:11">
      <c r="A14" s="4"/>
      <c r="B14" s="4"/>
      <c r="C14" s="4"/>
      <c r="D14" s="4"/>
      <c r="E14" s="10"/>
      <c r="F14" s="10"/>
      <c r="G14" s="10"/>
      <c r="H14" s="4"/>
    </row>
    <row r="15" spans="1:11">
      <c r="A15" s="4"/>
      <c r="B15" s="4"/>
      <c r="C15" s="4"/>
      <c r="D15" s="4"/>
      <c r="E15" s="10"/>
      <c r="F15" s="10"/>
      <c r="G15" s="10"/>
      <c r="H15" s="4"/>
    </row>
    <row r="16" spans="1:11">
      <c r="A16" s="4"/>
      <c r="B16" s="4"/>
      <c r="C16" s="4"/>
      <c r="D16" s="4"/>
      <c r="E16" s="10"/>
      <c r="F16" s="10"/>
      <c r="G16" s="10"/>
      <c r="H16" s="4"/>
    </row>
    <row r="17" spans="1:8">
      <c r="A17" s="4"/>
      <c r="B17" s="4"/>
      <c r="C17" s="4"/>
      <c r="D17" s="4"/>
      <c r="E17" s="10"/>
      <c r="F17" s="10"/>
      <c r="G17" s="10"/>
      <c r="H17" s="4"/>
    </row>
    <row r="18" spans="1:8">
      <c r="A18" s="4"/>
      <c r="B18" s="4"/>
      <c r="C18" s="4"/>
      <c r="D18" s="4"/>
      <c r="E18" s="10"/>
      <c r="F18" s="10"/>
      <c r="G18" s="10"/>
      <c r="H18" s="4"/>
    </row>
    <row r="19" spans="1:8">
      <c r="A19" s="4"/>
      <c r="B19" s="4"/>
      <c r="C19" s="4"/>
      <c r="D19" s="4"/>
      <c r="E19" s="10"/>
      <c r="F19" s="10"/>
      <c r="G19" s="10"/>
      <c r="H19" s="4"/>
    </row>
    <row r="20" spans="1:8">
      <c r="A20" s="4"/>
      <c r="B20" s="4"/>
      <c r="C20" s="4"/>
      <c r="D20" s="4"/>
      <c r="E20" s="10"/>
      <c r="F20" s="10"/>
      <c r="G20" s="10"/>
      <c r="H20" s="4"/>
    </row>
    <row r="21" spans="1:8">
      <c r="A21" s="4"/>
      <c r="B21" s="4"/>
      <c r="C21" s="4"/>
      <c r="D21" s="4"/>
      <c r="E21" s="10"/>
      <c r="F21" s="10"/>
      <c r="G21" s="10"/>
      <c r="H21" s="4"/>
    </row>
    <row r="22" spans="1:8">
      <c r="A22" s="4"/>
      <c r="B22" s="4"/>
      <c r="C22" s="4"/>
      <c r="D22" s="4"/>
      <c r="E22" s="10"/>
      <c r="F22" s="10"/>
      <c r="G22" s="10"/>
      <c r="H22" s="4"/>
    </row>
    <row r="23" spans="1:8">
      <c r="A23" s="4"/>
      <c r="B23" s="4"/>
      <c r="C23" s="4"/>
      <c r="D23" s="4"/>
      <c r="E23" s="10"/>
      <c r="F23" s="10"/>
      <c r="G23" s="10"/>
      <c r="H23" s="4"/>
    </row>
    <row r="24" spans="1:8">
      <c r="A24" s="4"/>
      <c r="B24" s="4"/>
      <c r="C24" s="4"/>
      <c r="D24" s="4"/>
      <c r="E24" s="10"/>
      <c r="F24" s="10"/>
      <c r="G24" s="10"/>
      <c r="H24" s="4"/>
    </row>
  </sheetData>
  <mergeCells count="2">
    <mergeCell ref="A1:H1"/>
    <mergeCell ref="A2:H2"/>
  </mergeCells>
  <conditionalFormatting sqref="H5:H24">
    <cfRule type="expression" dxfId="2" priority="1">
      <formula>$H5="Moroso"</formula>
    </cfRule>
    <cfRule type="expression" dxfId="1" priority="2">
      <formula>$H5="Al día"</formula>
    </cfRule>
  </conditionalFormatting>
  <conditionalFormatting sqref="G5:G24">
    <cfRule type="cellIs" dxfId="0" priority="3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Movimientos</vt:lpstr>
      <vt:lpstr>Categorias</vt:lpstr>
      <vt:lpstr>Apartamentos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Rafael Mederos Veloso</dc:creator>
  <cp:lastModifiedBy>Juan Miguel Ruiz Fernandez</cp:lastModifiedBy>
  <dcterms:created xsi:type="dcterms:W3CDTF">2026-05-12T09:49:37Z</dcterms:created>
  <dcterms:modified xsi:type="dcterms:W3CDTF">2026-05-13T11:32:03Z</dcterms:modified>
</cp:coreProperties>
</file>